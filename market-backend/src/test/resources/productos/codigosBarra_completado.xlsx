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lvi\Downloads\"/>
    </mc:Choice>
  </mc:AlternateContent>
  <xr:revisionPtr revIDLastSave="0" documentId="13_ncr:1_{86CF1455-C737-4572-8674-6FDC357F4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  <sheet name="Categorías" sheetId="2" r:id="rId2"/>
    <sheet name="Marcas" sheetId="3" r:id="rId3"/>
    <sheet name="Unidades de medida" sheetId="4" r:id="rId4"/>
    <sheet name="Búsqueda" sheetId="5" r:id="rId5"/>
  </sheets>
  <calcPr calcId="191029"/>
</workbook>
</file>

<file path=xl/calcChain.xml><?xml version="1.0" encoding="utf-8"?>
<calcChain xmlns="http://schemas.openxmlformats.org/spreadsheetml/2006/main">
  <c r="B13" i="5" l="1"/>
  <c r="B12" i="5"/>
  <c r="B11" i="5"/>
  <c r="B10" i="5"/>
  <c r="B9" i="5"/>
  <c r="B8" i="5"/>
  <c r="B7" i="5"/>
  <c r="B6" i="5"/>
  <c r="B5" i="5"/>
  <c r="F3" i="5"/>
</calcChain>
</file>

<file path=xl/sharedStrings.xml><?xml version="1.0" encoding="utf-8"?>
<sst xmlns="http://schemas.openxmlformats.org/spreadsheetml/2006/main" count="159" uniqueCount="96">
  <si>
    <t>Código interno</t>
  </si>
  <si>
    <t>Código de barras</t>
  </si>
  <si>
    <t>Nombre</t>
  </si>
  <si>
    <t>Descripción</t>
  </si>
  <si>
    <t>Descripción corta</t>
  </si>
  <si>
    <t>Categoría</t>
  </si>
  <si>
    <t>Marca</t>
  </si>
  <si>
    <t>Unidad de medida</t>
  </si>
  <si>
    <t>Estado código</t>
  </si>
  <si>
    <t>Fuente</t>
  </si>
  <si>
    <t>PRD-0001</t>
  </si>
  <si>
    <t>7501199413334</t>
  </si>
  <si>
    <t>Detergente Líquido Más Color Ropa Oscura 1.83 L</t>
  </si>
  <si>
    <t>Detergente líquido para ropa oscura, formulado para limpiar y ayudar a conservar la intensidad del color y las fibras de las prendas.</t>
  </si>
  <si>
    <t>Más Color Oscura 1.83 L</t>
  </si>
  <si>
    <t>Detergentes para ropa</t>
  </si>
  <si>
    <t>Más Color</t>
  </si>
  <si>
    <t>L</t>
  </si>
  <si>
    <t>VERIFICADO</t>
  </si>
  <si>
    <t>https://www.walmart.com.gt/detergente-liquido-mas-oscura-1-83l/p</t>
  </si>
  <si>
    <t>PRD-0002</t>
  </si>
  <si>
    <t>607766899383</t>
  </si>
  <si>
    <t>Suavizante Member's Selection Spring 5 L</t>
  </si>
  <si>
    <t>Suavizante líquido para ropa Member's Selection, presentación de 5 litros, aroma Spring.</t>
  </si>
  <si>
    <t>Suav. Member's Sel. 5 L</t>
  </si>
  <si>
    <t>Suavizantes</t>
  </si>
  <si>
    <t>Member's Selection</t>
  </si>
  <si>
    <t>https://tiendaenlinea.supermercadoelexito.hn/shop/607766899383-suavizante-members-sel-5l-spri-32083</t>
  </si>
  <si>
    <t>PRD-0003</t>
  </si>
  <si>
    <t>7501199413327</t>
  </si>
  <si>
    <t>Detergente Líquido Más Color Ropa de Color 1.83 L</t>
  </si>
  <si>
    <t>Detergente líquido para prendas de color, formulado para eliminar manchas y ayudar a conservar colores vibrantes.</t>
  </si>
  <si>
    <t>Más Color Color 1.83 L</t>
  </si>
  <si>
    <t>https://www.walmart.com.gt/detergente-liquido-mas-color-1830-ml/p</t>
  </si>
  <si>
    <t>PRD-0004</t>
  </si>
  <si>
    <t>7500435011891</t>
  </si>
  <si>
    <t>Detergente Líquido Ariel Doble Poder Concentrado 2.84 L</t>
  </si>
  <si>
    <t>Detergente líquido concentrado Ariel Doble Poder para lavado de ropa, presentación de 2.84 litros.</t>
  </si>
  <si>
    <t>Ariel Doble Poder 2.84 L</t>
  </si>
  <si>
    <t>Ariel</t>
  </si>
  <si>
    <t>https://www.walmart.com.gt/ariel-concentrado-liq-2840mlx4it-exp/p</t>
  </si>
  <si>
    <t>PRD-0005</t>
  </si>
  <si>
    <t>7401002002093</t>
  </si>
  <si>
    <t>Cloro Magia Blanca 1 L</t>
  </si>
  <si>
    <t>Cloro blanqueador y desinfectante Magia Blanca, presentación de 1 litro.</t>
  </si>
  <si>
    <t>Cloros y blanqueadores</t>
  </si>
  <si>
    <t>Magia Blanca</t>
  </si>
  <si>
    <t>https://www.walmart.com.gt/cloro-magia-blanca-1-l-2/p</t>
  </si>
  <si>
    <t>PRD-0006</t>
  </si>
  <si>
    <t>7509546684253</t>
  </si>
  <si>
    <t>Lavatrastes Líquido Axion Limón y Vinagre 640 ml</t>
  </si>
  <si>
    <t>Lavatrastes líquido Axion Limón y Vinagre con acción arrancagrasa, presentación de 640 ml.</t>
  </si>
  <si>
    <t>Axion Limón Vinagre 640 ml</t>
  </si>
  <si>
    <t>Lavatrastes</t>
  </si>
  <si>
    <t>Axion</t>
  </si>
  <si>
    <t>ml</t>
  </si>
  <si>
    <t>https://www.paiz.com.gt/lavaplatos-axion-limon-vinagre-bot-640ml-0/p</t>
  </si>
  <si>
    <t>PRD-0007</t>
  </si>
  <si>
    <t>7509546051932</t>
  </si>
  <si>
    <t>Lavatrastes Líquido Axion Limón 750 ml</t>
  </si>
  <si>
    <t>Lavatrastes líquido Axion Limón con acción arrancagrasa, presentación de 750 ml.</t>
  </si>
  <si>
    <t>Axion Limón 750 ml</t>
  </si>
  <si>
    <t>https://www.walmart.com.gt/lavaplatos-liquido-axion-limon-arrancagrasa-750ml/p</t>
  </si>
  <si>
    <t>PRD-0008</t>
  </si>
  <si>
    <t>7509546076195</t>
  </si>
  <si>
    <t>Lavatrastes Líquido Axion Aloe y Vitamina E 640 ml</t>
  </si>
  <si>
    <t>Lavatrastes líquido Axion con Aloe y Vitamina E, diseñado para remover grasa y cuidar las manos.</t>
  </si>
  <si>
    <t>Axion Aloe Vit E 640 ml</t>
  </si>
  <si>
    <t>https://www.walmart.com.gt/lavaplatos-l-quido-axion-aloe-y-vitamina-e-640ml/p</t>
  </si>
  <si>
    <t>PRD-0009</t>
  </si>
  <si>
    <t>7509546073651</t>
  </si>
  <si>
    <t>Lavatrastes Líquido Axion Limón 1.4 L</t>
  </si>
  <si>
    <t>Lavatrastes líquido Axion Limón con acción arrancagrasa, presentación de 1.4 litros.</t>
  </si>
  <si>
    <t>Axion Limón 1.4 L</t>
  </si>
  <si>
    <t>https://www.walmart.com.gt/detergente-axion-lavatrastes-liquido-limon-1-4-l/p</t>
  </si>
  <si>
    <t>PRD-0010</t>
  </si>
  <si>
    <t>7509546697468</t>
  </si>
  <si>
    <t>Lavatrastes Líquido Axion Blue 7 en 1 750 ml</t>
  </si>
  <si>
    <t>Lavatrastes líquido Axion Blue 7 en 1 con baking soda, presentación de 750 ml.</t>
  </si>
  <si>
    <t>Axion Blue 7en1 750 ml</t>
  </si>
  <si>
    <t>https://www.walmart.com.gt/lavaplatos-axion-baking-soda-7en1-750ml-gt1263-4-6/p</t>
  </si>
  <si>
    <t>PRD-0011</t>
  </si>
  <si>
    <t>099176006299</t>
  </si>
  <si>
    <t>Desinfectante Azistin Alternativa al Cloro 900 ml</t>
  </si>
  <si>
    <t>Desinfectante Azistin alternativa al cloro para limpieza del hogar y pisos, presentación de 900 ml.</t>
  </si>
  <si>
    <t>Azistin Alt. Cloro 900 ml</t>
  </si>
  <si>
    <t>Desinfectantes</t>
  </si>
  <si>
    <t>Azistin</t>
  </si>
  <si>
    <t>https://lacoloniaqa.lacolonia.com/cuidado-hogar-azistin-099176006299/p</t>
  </si>
  <si>
    <t>PRD-0012</t>
  </si>
  <si>
    <t>099176005629</t>
  </si>
  <si>
    <t>Desinfectante Multiusos Azistin Forta Lavanda 900 ml</t>
  </si>
  <si>
    <t>Desinfectante multiusos Azistin Forta aroma lavanda, presentación de 900 ml.</t>
  </si>
  <si>
    <t>Azistin Lavanda 900 ml</t>
  </si>
  <si>
    <t>https://www.lacolonia.com/desinfectante-azistin-aroma-lavanda-900-ml-ref099176005629/p</t>
  </si>
  <si>
    <t>BÚSQUEDA POR CÓDIGO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</si>
</sst>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49" fontId="3" fillId="6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3" sqref="A3"/>
    </sheetView>
  </sheetViews>
  <sheetFormatPr baseColWidth="10" defaultColWidth="8.796875" defaultRowHeight="13.8"/>
  <cols>
    <col min="1" max="1" width="15" customWidth="1"/>
    <col min="2" max="2" width="18" customWidth="1"/>
    <col min="3" max="3" width="38" customWidth="1"/>
    <col min="4" max="4" width="48" customWidth="1"/>
    <col min="5" max="5" width="28" customWidth="1"/>
    <col min="6" max="6" width="25" customWidth="1"/>
    <col min="7" max="7" width="20" customWidth="1"/>
    <col min="8" max="9" width="16" customWidth="1"/>
    <col min="10" max="10" width="52" customWidth="1"/>
    <col min="12" max="12" width="56.8984375" customWidth="1"/>
  </cols>
  <sheetData>
    <row r="1" spans="1:1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41.4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 ht="27.6">
      <c r="A3" s="2" t="s">
        <v>20</v>
      </c>
      <c r="B3" s="3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17</v>
      </c>
      <c r="I3" s="2" t="s">
        <v>18</v>
      </c>
      <c r="J3" s="2" t="s">
        <v>27</v>
      </c>
      <c r="K3" s="2"/>
    </row>
    <row r="4" spans="1:11" ht="27.6">
      <c r="A4" s="2" t="s">
        <v>28</v>
      </c>
      <c r="B4" s="3" t="s">
        <v>29</v>
      </c>
      <c r="C4" s="2" t="s">
        <v>30</v>
      </c>
      <c r="D4" s="2" t="s">
        <v>31</v>
      </c>
      <c r="E4" s="2" t="s">
        <v>32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33</v>
      </c>
      <c r="K4" s="2"/>
    </row>
    <row r="5" spans="1:11" ht="27.6">
      <c r="A5" s="2" t="s">
        <v>34</v>
      </c>
      <c r="B5" s="3" t="s">
        <v>35</v>
      </c>
      <c r="C5" s="2" t="s">
        <v>36</v>
      </c>
      <c r="D5" s="2" t="s">
        <v>37</v>
      </c>
      <c r="E5" s="2" t="s">
        <v>38</v>
      </c>
      <c r="F5" s="2" t="s">
        <v>15</v>
      </c>
      <c r="G5" s="2" t="s">
        <v>39</v>
      </c>
      <c r="H5" s="2" t="s">
        <v>17</v>
      </c>
      <c r="I5" s="2" t="s">
        <v>18</v>
      </c>
      <c r="J5" s="2" t="s">
        <v>40</v>
      </c>
      <c r="K5" s="2"/>
    </row>
    <row r="6" spans="1:11" ht="27.6">
      <c r="A6" s="2" t="s">
        <v>41</v>
      </c>
      <c r="B6" s="3" t="s">
        <v>42</v>
      </c>
      <c r="C6" s="2" t="s">
        <v>43</v>
      </c>
      <c r="D6" s="2" t="s">
        <v>44</v>
      </c>
      <c r="E6" s="2" t="s">
        <v>43</v>
      </c>
      <c r="F6" s="2" t="s">
        <v>45</v>
      </c>
      <c r="G6" s="2" t="s">
        <v>46</v>
      </c>
      <c r="H6" s="2" t="s">
        <v>17</v>
      </c>
      <c r="I6" s="2" t="s">
        <v>18</v>
      </c>
      <c r="J6" s="2" t="s">
        <v>47</v>
      </c>
      <c r="K6" s="2"/>
    </row>
    <row r="7" spans="1:11" ht="27.6">
      <c r="A7" s="2" t="s">
        <v>48</v>
      </c>
      <c r="B7" s="3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18</v>
      </c>
      <c r="J7" s="2" t="s">
        <v>56</v>
      </c>
      <c r="K7" s="2"/>
    </row>
    <row r="8" spans="1:11" ht="27.6">
      <c r="A8" s="2" t="s">
        <v>57</v>
      </c>
      <c r="B8" s="3" t="s">
        <v>58</v>
      </c>
      <c r="C8" s="2" t="s">
        <v>59</v>
      </c>
      <c r="D8" s="2" t="s">
        <v>60</v>
      </c>
      <c r="E8" s="2" t="s">
        <v>61</v>
      </c>
      <c r="F8" s="2" t="s">
        <v>53</v>
      </c>
      <c r="G8" s="2" t="s">
        <v>54</v>
      </c>
      <c r="H8" s="2" t="s">
        <v>55</v>
      </c>
      <c r="I8" s="2" t="s">
        <v>18</v>
      </c>
      <c r="J8" s="2" t="s">
        <v>62</v>
      </c>
      <c r="K8" s="2"/>
    </row>
    <row r="9" spans="1:11" ht="27.6">
      <c r="A9" s="2" t="s">
        <v>63</v>
      </c>
      <c r="B9" s="3" t="s">
        <v>64</v>
      </c>
      <c r="C9" s="2" t="s">
        <v>65</v>
      </c>
      <c r="D9" s="2" t="s">
        <v>66</v>
      </c>
      <c r="E9" s="2" t="s">
        <v>67</v>
      </c>
      <c r="F9" s="2" t="s">
        <v>53</v>
      </c>
      <c r="G9" s="2" t="s">
        <v>54</v>
      </c>
      <c r="H9" s="2" t="s">
        <v>55</v>
      </c>
      <c r="I9" s="2" t="s">
        <v>18</v>
      </c>
      <c r="J9" s="2" t="s">
        <v>68</v>
      </c>
      <c r="K9" s="2"/>
    </row>
    <row r="10" spans="1:11" ht="27.6">
      <c r="A10" s="2" t="s">
        <v>69</v>
      </c>
      <c r="B10" s="3" t="s">
        <v>70</v>
      </c>
      <c r="C10" s="2" t="s">
        <v>71</v>
      </c>
      <c r="D10" s="2" t="s">
        <v>72</v>
      </c>
      <c r="E10" s="2" t="s">
        <v>73</v>
      </c>
      <c r="F10" s="2" t="s">
        <v>53</v>
      </c>
      <c r="G10" s="2" t="s">
        <v>54</v>
      </c>
      <c r="H10" s="2" t="s">
        <v>17</v>
      </c>
      <c r="I10" s="2" t="s">
        <v>18</v>
      </c>
      <c r="J10" s="2" t="s">
        <v>74</v>
      </c>
      <c r="K10" s="2"/>
    </row>
    <row r="11" spans="1:11" ht="27.6">
      <c r="A11" s="2" t="s">
        <v>75</v>
      </c>
      <c r="B11" s="3" t="s">
        <v>76</v>
      </c>
      <c r="C11" s="2" t="s">
        <v>77</v>
      </c>
      <c r="D11" s="2" t="s">
        <v>78</v>
      </c>
      <c r="E11" s="2" t="s">
        <v>79</v>
      </c>
      <c r="F11" s="2" t="s">
        <v>53</v>
      </c>
      <c r="G11" s="2" t="s">
        <v>54</v>
      </c>
      <c r="H11" s="2" t="s">
        <v>55</v>
      </c>
      <c r="I11" s="2" t="s">
        <v>18</v>
      </c>
      <c r="J11" s="2" t="s">
        <v>80</v>
      </c>
      <c r="K11" s="2"/>
    </row>
    <row r="12" spans="1:11" ht="27.6">
      <c r="A12" s="2" t="s">
        <v>81</v>
      </c>
      <c r="B12" s="3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55</v>
      </c>
      <c r="I12" s="2" t="s">
        <v>18</v>
      </c>
      <c r="J12" s="2" t="s">
        <v>88</v>
      </c>
      <c r="K12" s="2"/>
    </row>
    <row r="13" spans="1:11" ht="27.6">
      <c r="A13" s="2" t="s">
        <v>89</v>
      </c>
      <c r="B13" s="3" t="s">
        <v>90</v>
      </c>
      <c r="C13" s="2" t="s">
        <v>91</v>
      </c>
      <c r="D13" s="2" t="s">
        <v>92</v>
      </c>
      <c r="E13" s="2" t="s">
        <v>93</v>
      </c>
      <c r="F13" s="2" t="s">
        <v>86</v>
      </c>
      <c r="G13" s="2" t="s">
        <v>87</v>
      </c>
      <c r="H13" s="2" t="s">
        <v>55</v>
      </c>
      <c r="I13" s="2" t="s">
        <v>18</v>
      </c>
      <c r="J13" s="2" t="s">
        <v>94</v>
      </c>
      <c r="K13" s="2"/>
    </row>
  </sheetData>
  <conditionalFormatting sqref="I2:I13">
    <cfRule type="expression" dxfId="2" priority="1">
      <formula>I2="VERIFICADO"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796875" defaultRowHeight="13.8"/>
  <cols>
    <col min="1" max="1" width="28" customWidth="1"/>
  </cols>
  <sheetData>
    <row r="1" spans="1:1">
      <c r="A1" s="4" t="s">
        <v>5</v>
      </c>
    </row>
    <row r="2" spans="1:1">
      <c r="A2" t="s">
        <v>45</v>
      </c>
    </row>
    <row r="3" spans="1:1">
      <c r="A3" t="s">
        <v>86</v>
      </c>
    </row>
    <row r="4" spans="1:1">
      <c r="A4" t="s">
        <v>15</v>
      </c>
    </row>
    <row r="5" spans="1:1">
      <c r="A5" t="s">
        <v>53</v>
      </c>
    </row>
    <row r="6" spans="1:1">
      <c r="A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8.796875" defaultRowHeight="13.8"/>
  <cols>
    <col min="1" max="1" width="24" customWidth="1"/>
  </cols>
  <sheetData>
    <row r="1" spans="1:1">
      <c r="A1" s="5" t="s">
        <v>6</v>
      </c>
    </row>
    <row r="2" spans="1:1">
      <c r="A2" t="s">
        <v>39</v>
      </c>
    </row>
    <row r="3" spans="1:1">
      <c r="A3" t="s">
        <v>54</v>
      </c>
    </row>
    <row r="4" spans="1:1">
      <c r="A4" t="s">
        <v>87</v>
      </c>
    </row>
    <row r="5" spans="1:1">
      <c r="A5" t="s">
        <v>46</v>
      </c>
    </row>
    <row r="6" spans="1:1">
      <c r="A6" t="s">
        <v>26</v>
      </c>
    </row>
    <row r="7" spans="1:1">
      <c r="A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796875" defaultRowHeight="13.8"/>
  <cols>
    <col min="1" max="1" width="22" customWidth="1"/>
  </cols>
  <sheetData>
    <row r="1" spans="1:1">
      <c r="A1" s="6" t="s">
        <v>7</v>
      </c>
    </row>
    <row r="2" spans="1:1">
      <c r="A2" t="s">
        <v>17</v>
      </c>
    </row>
    <row r="3" spans="1:1">
      <c r="A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B4" sqref="B4"/>
    </sheetView>
  </sheetViews>
  <sheetFormatPr baseColWidth="10" defaultColWidth="8.796875" defaultRowHeight="13.8"/>
  <cols>
    <col min="1" max="1" width="22" customWidth="1"/>
    <col min="2" max="6" width="18" customWidth="1"/>
  </cols>
  <sheetData>
    <row r="1" spans="1:6" ht="24" customHeight="1">
      <c r="A1" s="10" t="s">
        <v>95</v>
      </c>
      <c r="B1" s="10"/>
      <c r="C1" s="10"/>
      <c r="D1" s="10"/>
      <c r="E1" s="10"/>
      <c r="F1" s="10"/>
    </row>
    <row r="3" spans="1:6">
      <c r="A3" s="7" t="s">
        <v>1</v>
      </c>
      <c r="B3" s="11" t="s">
        <v>64</v>
      </c>
      <c r="C3" s="12"/>
      <c r="D3" s="12"/>
      <c r="F3" s="9" t="str">
        <f>IF(B3="","INGRESE CÓDIGO",IF(COUNTIF(Productos!$B:$B,B3)&gt;0,"ENCONTRADO","NO ENCONTRADO"))</f>
        <v>ENCONTRADO</v>
      </c>
    </row>
    <row r="4" spans="1:6">
      <c r="B4" s="8" t="s">
        <v>64</v>
      </c>
    </row>
    <row r="5" spans="1:6">
      <c r="A5" s="7" t="s">
        <v>0</v>
      </c>
      <c r="B5" s="13" t="str">
        <f>IFERROR(INDEX(Productos!$A:$A,MATCH($B$3,Productos!$B:$B,0)),"")</f>
        <v>PRD-0008</v>
      </c>
      <c r="C5" s="13"/>
      <c r="D5" s="13"/>
      <c r="E5" s="13"/>
      <c r="F5" s="13"/>
    </row>
    <row r="6" spans="1:6">
      <c r="A6" s="7" t="s">
        <v>2</v>
      </c>
      <c r="B6" s="13" t="str">
        <f>IFERROR(INDEX(Productos!$C:$C,MATCH($B$3,Productos!$B:$B,0)),"")</f>
        <v>Lavatrastes Líquido Axion Aloe y Vitamina E 640 ml</v>
      </c>
      <c r="C6" s="13"/>
      <c r="D6" s="13"/>
      <c r="E6" s="13"/>
      <c r="F6" s="13"/>
    </row>
    <row r="7" spans="1:6">
      <c r="A7" s="7" t="s">
        <v>3</v>
      </c>
      <c r="B7" s="13" t="str">
        <f>IFERROR(INDEX(Productos!$D:$D,MATCH($B$3,Productos!$B:$B,0)),"")</f>
        <v>Lavatrastes líquido Axion con Aloe y Vitamina E, diseñado para remover grasa y cuidar las manos.</v>
      </c>
      <c r="C7" s="13"/>
      <c r="D7" s="13"/>
      <c r="E7" s="13"/>
      <c r="F7" s="13"/>
    </row>
    <row r="8" spans="1:6">
      <c r="A8" s="7" t="s">
        <v>4</v>
      </c>
      <c r="B8" s="13" t="str">
        <f>IFERROR(INDEX(Productos!$E:$E,MATCH($B$3,Productos!$B:$B,0)),"")</f>
        <v>Axion Aloe Vit E 640 ml</v>
      </c>
      <c r="C8" s="13"/>
      <c r="D8" s="13"/>
      <c r="E8" s="13"/>
      <c r="F8" s="13"/>
    </row>
    <row r="9" spans="1:6">
      <c r="A9" s="7" t="s">
        <v>5</v>
      </c>
      <c r="B9" s="13" t="str">
        <f>IFERROR(INDEX(Productos!$F:$F,MATCH($B$3,Productos!$B:$B,0)),"")</f>
        <v>Lavatrastes</v>
      </c>
      <c r="C9" s="13"/>
      <c r="D9" s="13"/>
      <c r="E9" s="13"/>
      <c r="F9" s="13"/>
    </row>
    <row r="10" spans="1:6">
      <c r="A10" s="7" t="s">
        <v>6</v>
      </c>
      <c r="B10" s="13" t="str">
        <f>IFERROR(INDEX(Productos!$G:$G,MATCH($B$3,Productos!$B:$B,0)),"")</f>
        <v>Axion</v>
      </c>
      <c r="C10" s="13"/>
      <c r="D10" s="13"/>
      <c r="E10" s="13"/>
      <c r="F10" s="13"/>
    </row>
    <row r="11" spans="1:6">
      <c r="A11" s="7" t="s">
        <v>7</v>
      </c>
      <c r="B11" s="13" t="str">
        <f>IFERROR(INDEX(Productos!$H:$H,MATCH($B$3,Productos!$B:$B,0)),"")</f>
        <v>ml</v>
      </c>
      <c r="C11" s="13"/>
      <c r="D11" s="13"/>
      <c r="E11" s="13"/>
      <c r="F11" s="13"/>
    </row>
    <row r="12" spans="1:6">
      <c r="A12" s="7" t="s">
        <v>8</v>
      </c>
      <c r="B12" s="13" t="str">
        <f>IFERROR(INDEX(Productos!$I:$I,MATCH($B$3,Productos!$B:$B,0)),"")</f>
        <v>VERIFICADO</v>
      </c>
      <c r="C12" s="13"/>
      <c r="D12" s="13"/>
      <c r="E12" s="13"/>
      <c r="F12" s="13"/>
    </row>
    <row r="13" spans="1:6">
      <c r="A13" s="7" t="s">
        <v>9</v>
      </c>
      <c r="B13" s="13" t="str">
        <f>IFERROR(INDEX(Productos!$J:$J,MATCH($B$3,Productos!$B:$B,0)),"")</f>
        <v>https://www.walmart.com.gt/lavaplatos-l-quido-axion-aloe-y-vitamina-e-640ml/p</v>
      </c>
      <c r="C13" s="13"/>
      <c r="D13" s="13"/>
      <c r="E13" s="13"/>
      <c r="F13" s="13"/>
    </row>
    <row r="14" spans="1:6">
      <c r="D14" s="2"/>
      <c r="E14" s="2"/>
      <c r="F14" s="2"/>
    </row>
  </sheetData>
  <mergeCells count="11">
    <mergeCell ref="B13:F13"/>
    <mergeCell ref="B8:F8"/>
    <mergeCell ref="B9:F9"/>
    <mergeCell ref="B10:F10"/>
    <mergeCell ref="B11:F11"/>
    <mergeCell ref="B12:F12"/>
    <mergeCell ref="A1:F1"/>
    <mergeCell ref="B3:D3"/>
    <mergeCell ref="B5:F5"/>
    <mergeCell ref="B6:F6"/>
    <mergeCell ref="B7:F7"/>
  </mergeCells>
  <conditionalFormatting sqref="F3">
    <cfRule type="expression" dxfId="1" priority="1">
      <formula>F3="ENCONTRADO"</formula>
    </cfRule>
    <cfRule type="expression" dxfId="0" priority="2">
      <formula>F3="NO ENCONTRADO"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Categorías</vt:lpstr>
      <vt:lpstr>Marcas</vt:lpstr>
      <vt:lpstr>Unidades de medida</vt:lpstr>
      <vt:lpstr>Búsqueda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Melvin Montecinos Calel</cp:lastModifiedBy>
  <dcterms:modified xsi:type="dcterms:W3CDTF">2026-09-06T02:48:29Z</dcterms:modified>
</cp:coreProperties>
</file>